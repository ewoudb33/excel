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ccda54e282994c/Documenten/Excel/"/>
    </mc:Choice>
  </mc:AlternateContent>
  <xr:revisionPtr revIDLastSave="6" documentId="8_{B6EBDDE4-32A6-4F6C-9268-6B8403061144}" xr6:coauthVersionLast="47" xr6:coauthVersionMax="47" xr10:uidLastSave="{51D2AF0E-1AB5-4DC4-AF2F-018ED802F644}"/>
  <bookViews>
    <workbookView xWindow="-108" yWindow="-108" windowWidth="23256" windowHeight="12456" xr2:uid="{8AF3099F-7C15-4420-A2F4-95973BA8527C}"/>
  </bookViews>
  <sheets>
    <sheet name="Game" sheetId="1" r:id="rId1"/>
    <sheet name="Results" sheetId="2" r:id="rId2"/>
    <sheet name="Dice images" sheetId="3" r:id="rId3"/>
    <sheet name="Conversion" sheetId="4" r:id="rId4"/>
  </sheets>
  <definedNames>
    <definedName name="dfive">INDIRECT(Conversion!$B$7)</definedName>
    <definedName name="dfour">INDIRECT(Conversion!$B$6)</definedName>
    <definedName name="dice">'Dice images'!$A$1</definedName>
    <definedName name="dice_five">'Dice images'!$E$1</definedName>
    <definedName name="dice_four">'Dice images'!$D$1</definedName>
    <definedName name="dice_one">'Dice images'!$A$1</definedName>
    <definedName name="dice_six">'Dice images'!$F$1</definedName>
    <definedName name="dice_three">'Dice images'!$C$1</definedName>
    <definedName name="dice_two">'Dice images'!$B$1</definedName>
    <definedName name="dice1">'Dice images'!$A$1</definedName>
    <definedName name="DicePictures">INDIRECT(Conversion!$B$3)</definedName>
    <definedName name="diceuno">'Dice images'!$A$1</definedName>
    <definedName name="done">'Dice images'!$A$1</definedName>
    <definedName name="dthree">INDIRECT(Conversion!$B$5)</definedName>
    <definedName name="dtwo">INDIRECT(Conversion!$B$4)</definedName>
    <definedName name="locked">'Dice images'!$A$1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B7" i="4" s="1"/>
  <c r="C5" i="1"/>
  <c r="B6" i="4" s="1"/>
  <c r="C4" i="1"/>
  <c r="B5" i="4" s="1"/>
  <c r="C3" i="1"/>
  <c r="C2" i="1"/>
  <c r="B4" i="4"/>
  <c r="B3" i="4"/>
  <c r="C17" i="1"/>
  <c r="C18" i="1" s="1"/>
  <c r="R2" i="1" l="1"/>
  <c r="F7" i="1"/>
  <c r="J7" i="1" s="1"/>
  <c r="F6" i="1"/>
  <c r="J6" i="1" s="1"/>
  <c r="F3" i="1"/>
  <c r="J3" i="1" s="1"/>
  <c r="F2" i="1"/>
  <c r="J2" i="1" s="1"/>
  <c r="F5" i="1"/>
  <c r="J5" i="1" s="1"/>
  <c r="F4" i="1"/>
  <c r="J4" i="1" s="1"/>
  <c r="I2" i="1" l="1"/>
  <c r="K2" i="1" s="1"/>
  <c r="S2" i="1"/>
  <c r="Q2" i="1"/>
  <c r="P2" i="1"/>
  <c r="N3" i="1"/>
  <c r="I3" i="1"/>
  <c r="K3" i="1" s="1"/>
  <c r="N5" i="1"/>
  <c r="I5" i="1"/>
  <c r="K5" i="1" s="1"/>
  <c r="N6" i="1"/>
  <c r="I6" i="1"/>
  <c r="K6" i="1" s="1"/>
  <c r="N4" i="1"/>
  <c r="I4" i="1"/>
  <c r="K4" i="1" s="1"/>
  <c r="N7" i="1"/>
  <c r="I7" i="1"/>
  <c r="K7" i="1" s="1"/>
  <c r="N2" i="1"/>
  <c r="L5" i="1"/>
  <c r="M5" i="1" s="1"/>
  <c r="L7" i="1"/>
  <c r="M7" i="1" s="1"/>
  <c r="L4" i="1"/>
  <c r="M4" i="1" s="1"/>
  <c r="L6" i="1"/>
  <c r="M6" i="1" s="1"/>
  <c r="L3" i="1"/>
  <c r="M3" i="1" s="1"/>
  <c r="L2" i="1"/>
  <c r="M2" i="1" s="1"/>
  <c r="O2" i="1" l="1"/>
  <c r="O3" i="1"/>
  <c r="O6" i="1"/>
  <c r="O7" i="1"/>
  <c r="O5" i="1"/>
  <c r="O4" i="1"/>
</calcChain>
</file>

<file path=xl/sharedStrings.xml><?xml version="1.0" encoding="utf-8"?>
<sst xmlns="http://schemas.openxmlformats.org/spreadsheetml/2006/main" count="60" uniqueCount="38">
  <si>
    <t>Dobbelsteen 1</t>
  </si>
  <si>
    <t>Dobbelsteen 2</t>
  </si>
  <si>
    <t>Dobbelsteen 3</t>
  </si>
  <si>
    <t>Dobbelsteen 4</t>
  </si>
  <si>
    <t>Dobbelsteen 5</t>
  </si>
  <si>
    <t>Enen</t>
  </si>
  <si>
    <t>Drieën</t>
  </si>
  <si>
    <t>Vieren</t>
  </si>
  <si>
    <t>Vijven</t>
  </si>
  <si>
    <t>Zessen</t>
  </si>
  <si>
    <t>Scorelijst definitief</t>
  </si>
  <si>
    <t>3 of a kind</t>
  </si>
  <si>
    <t>4 of a kind</t>
  </si>
  <si>
    <t>Full House</t>
  </si>
  <si>
    <t>Small straight</t>
  </si>
  <si>
    <t>Full straight</t>
  </si>
  <si>
    <t>Chance</t>
  </si>
  <si>
    <t>Yahtzee</t>
  </si>
  <si>
    <t>4 of meer?</t>
  </si>
  <si>
    <t>Tweeën</t>
  </si>
  <si>
    <t>63 of meer?</t>
  </si>
  <si>
    <t>Subtotaal</t>
  </si>
  <si>
    <t>3 ?</t>
  </si>
  <si>
    <t>2 gegeven 3?</t>
  </si>
  <si>
    <t>subtotaal</t>
  </si>
  <si>
    <t>Totaal</t>
  </si>
  <si>
    <t>-</t>
  </si>
  <si>
    <t>Nee</t>
  </si>
  <si>
    <t>d1</t>
  </si>
  <si>
    <t>d2</t>
  </si>
  <si>
    <t>d3</t>
  </si>
  <si>
    <t>d4</t>
  </si>
  <si>
    <t>d5</t>
  </si>
  <si>
    <t>Bovenkant</t>
  </si>
  <si>
    <t>Three of kind</t>
  </si>
  <si>
    <t>4 of kind</t>
  </si>
  <si>
    <t>Small Straight</t>
  </si>
  <si>
    <t>Full Straight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</si>
</sst>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colors>
    <mruColors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17/10/relationships/person" Target="persons/person0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5" Type="http://schemas.microsoft.com/office/2017/10/relationships/person" Target="persons/person1.xml"/><Relationship Id="rId4" Type="http://schemas.openxmlformats.org/officeDocument/2006/relationships/worksheet" Target="worksheets/sheet4.xml"/><Relationship Id="rId9" Type="http://schemas.microsoft.com/office/2006/relationships/vbaProject" Target="vbaProject.bin"/><Relationship Id="rId14" Type="http://schemas.microsoft.com/office/2017/10/relationships/person" Target="persons/person3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76201</xdr:colOff>
          <xdr:row>2</xdr:row>
          <xdr:rowOff>88984</xdr:rowOff>
        </xdr:from>
        <xdr:to>
          <xdr:col>4</xdr:col>
          <xdr:colOff>11294</xdr:colOff>
          <xdr:row>2</xdr:row>
          <xdr:rowOff>636184</xdr:rowOff>
        </xdr:to>
        <xdr:pic>
          <xdr:nvPicPr>
            <xdr:cNvPr id="4" name="Afbeelding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two" spid="_x0000_s326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164081" y="965284"/>
              <a:ext cx="598033" cy="5472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3</xdr:row>
          <xdr:rowOff>60964</xdr:rowOff>
        </xdr:from>
        <xdr:to>
          <xdr:col>3</xdr:col>
          <xdr:colOff>586740</xdr:colOff>
          <xdr:row>3</xdr:row>
          <xdr:rowOff>608164</xdr:rowOff>
        </xdr:to>
        <xdr:pic>
          <xdr:nvPicPr>
            <xdr:cNvPr id="5" name="Afbeelding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three" spid="_x0000_s326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79320" y="1935484"/>
              <a:ext cx="495300" cy="5472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58301</xdr:rowOff>
        </xdr:from>
        <xdr:to>
          <xdr:col>3</xdr:col>
          <xdr:colOff>647700</xdr:colOff>
          <xdr:row>4</xdr:row>
          <xdr:rowOff>604584</xdr:rowOff>
        </xdr:to>
        <xdr:pic>
          <xdr:nvPicPr>
            <xdr:cNvPr id="6" name="Afbeelding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four" spid="_x0000_s326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56460" y="2321441"/>
              <a:ext cx="579120" cy="54628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77253</xdr:rowOff>
        </xdr:from>
        <xdr:to>
          <xdr:col>3</xdr:col>
          <xdr:colOff>640079</xdr:colOff>
          <xdr:row>5</xdr:row>
          <xdr:rowOff>624453</xdr:rowOff>
        </xdr:to>
        <xdr:pic>
          <xdr:nvPicPr>
            <xdr:cNvPr id="7" name="Afbeelding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five" spid="_x0000_s3264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148840" y="3033813"/>
              <a:ext cx="579119" cy="5472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60959</xdr:colOff>
          <xdr:row>1</xdr:row>
          <xdr:rowOff>37966</xdr:rowOff>
        </xdr:from>
        <xdr:to>
          <xdr:col>3</xdr:col>
          <xdr:colOff>586740</xdr:colOff>
          <xdr:row>1</xdr:row>
          <xdr:rowOff>646940</xdr:rowOff>
        </xdr:to>
        <xdr:pic>
          <xdr:nvPicPr>
            <xdr:cNvPr id="8" name="Afbeelding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icePictures" spid="_x0000_s326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48839" y="220846"/>
              <a:ext cx="525781" cy="608974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487680</xdr:rowOff>
        </xdr:from>
        <xdr:to>
          <xdr:col>2</xdr:col>
          <xdr:colOff>266700</xdr:colOff>
          <xdr:row>1</xdr:row>
          <xdr:rowOff>685800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2</xdr:row>
          <xdr:rowOff>480060</xdr:rowOff>
        </xdr:from>
        <xdr:to>
          <xdr:col>2</xdr:col>
          <xdr:colOff>243840</xdr:colOff>
          <xdr:row>2</xdr:row>
          <xdr:rowOff>640080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464820</xdr:rowOff>
        </xdr:from>
        <xdr:to>
          <xdr:col>2</xdr:col>
          <xdr:colOff>251460</xdr:colOff>
          <xdr:row>3</xdr:row>
          <xdr:rowOff>678180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457200</xdr:rowOff>
        </xdr:from>
        <xdr:to>
          <xdr:col>2</xdr:col>
          <xdr:colOff>281940</xdr:colOff>
          <xdr:row>4</xdr:row>
          <xdr:rowOff>678180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5</xdr:row>
          <xdr:rowOff>472440</xdr:rowOff>
        </xdr:from>
        <xdr:to>
          <xdr:col>2</xdr:col>
          <xdr:colOff>236220</xdr:colOff>
          <xdr:row>5</xdr:row>
          <xdr:rowOff>670560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160020</xdr:colOff>
      <xdr:row>0</xdr:row>
      <xdr:rowOff>205740</xdr:rowOff>
    </xdr:from>
    <xdr:to>
      <xdr:col>1</xdr:col>
      <xdr:colOff>640080</xdr:colOff>
      <xdr:row>1</xdr:row>
      <xdr:rowOff>190500</xdr:rowOff>
    </xdr:to>
    <xdr:sp macro="[0]!RollDice" textlink="">
      <xdr:nvSpPr>
        <xdr:cNvPr id="9" name="Rechthoek: afgeronde hoek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0020" y="205740"/>
          <a:ext cx="1089660" cy="4724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800" b="1"/>
            <a:t>Roll Dice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472440</xdr:colOff>
      <xdr:row>0</xdr:row>
      <xdr:rowOff>516176</xdr:rowOff>
    </xdr:from>
    <xdr:to>
      <xdr:col>1</xdr:col>
      <xdr:colOff>891540</xdr:colOff>
      <xdr:row>0</xdr:row>
      <xdr:rowOff>952499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3060" y="516176"/>
          <a:ext cx="419100" cy="4363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365760</xdr:colOff>
      <xdr:row>0</xdr:row>
      <xdr:rowOff>487680</xdr:rowOff>
    </xdr:from>
    <xdr:to>
      <xdr:col>2</xdr:col>
      <xdr:colOff>876300</xdr:colOff>
      <xdr:row>0</xdr:row>
      <xdr:rowOff>998220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487680"/>
          <a:ext cx="51054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335280</xdr:colOff>
      <xdr:row>0</xdr:row>
      <xdr:rowOff>524064</xdr:rowOff>
    </xdr:from>
    <xdr:to>
      <xdr:col>3</xdr:col>
      <xdr:colOff>807720</xdr:colOff>
      <xdr:row>0</xdr:row>
      <xdr:rowOff>990599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1480" y="524064"/>
          <a:ext cx="472440" cy="466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337696</xdr:colOff>
      <xdr:row>0</xdr:row>
      <xdr:rowOff>495300</xdr:rowOff>
    </xdr:from>
    <xdr:to>
      <xdr:col>4</xdr:col>
      <xdr:colOff>830580</xdr:colOff>
      <xdr:row>0</xdr:row>
      <xdr:rowOff>1013460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4516" y="495300"/>
          <a:ext cx="492884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388620</xdr:colOff>
      <xdr:row>0</xdr:row>
      <xdr:rowOff>551340</xdr:rowOff>
    </xdr:from>
    <xdr:to>
      <xdr:col>5</xdr:col>
      <xdr:colOff>883920</xdr:colOff>
      <xdr:row>0</xdr:row>
      <xdr:rowOff>1059179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551340"/>
          <a:ext cx="495300" cy="507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358140</xdr:colOff>
      <xdr:row>0</xdr:row>
      <xdr:rowOff>502920</xdr:rowOff>
    </xdr:from>
    <xdr:to>
      <xdr:col>0</xdr:col>
      <xdr:colOff>792480</xdr:colOff>
      <xdr:row>0</xdr:row>
      <xdr:rowOff>937260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" y="502920"/>
          <a:ext cx="434340" cy="434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304800</xdr:colOff>
          <xdr:row>14</xdr:row>
          <xdr:rowOff>114300</xdr:rowOff>
        </xdr:to>
        <xdr:pic>
          <xdr:nvPicPr>
            <xdr:cNvPr id="3" name="Afbeelding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icePictures" spid="_x0000_s208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828800" y="1280160"/>
              <a:ext cx="1524000" cy="139446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F64DD-E286-481C-9E7C-A18FFABD2071}">
  <dimension ref="B1:S28"/>
  <sheetViews>
    <sheetView tabSelected="1" workbookViewId="0">
      <selection activeCell="C7" sqref="C7"/>
    </sheetView>
  </sheetViews>
  <sheetFormatPr defaultRowHeight="14.4" x14ac:dyDescent="0.3"/>
  <cols>
    <col min="1" max="1" width="8.88671875" customWidth="1"/>
    <col min="2" max="2" width="12.6640625" bestFit="1" customWidth="1"/>
    <col min="4" max="4" width="9.6640625" customWidth="1"/>
    <col min="5" max="5" width="8.88671875" customWidth="1"/>
    <col min="6" max="6" width="9.6640625" customWidth="1"/>
    <col min="7" max="7" width="8.88671875" customWidth="1"/>
    <col min="8" max="8" width="9" customWidth="1"/>
    <col min="9" max="9" width="16.109375" customWidth="1"/>
    <col min="10" max="10" width="10.77734375" customWidth="1"/>
    <col min="11" max="11" width="13.33203125" customWidth="1"/>
    <col min="12" max="12" width="13.109375" customWidth="1"/>
    <col min="13" max="13" width="9" customWidth="1"/>
    <col min="14" max="14" width="11.44140625" hidden="1" customWidth="1"/>
    <col min="15" max="15" width="10.21875" bestFit="1" customWidth="1"/>
    <col min="16" max="16" width="12.88671875" bestFit="1" customWidth="1"/>
    <col min="17" max="17" width="11.33203125" customWidth="1"/>
  </cols>
  <sheetData>
    <row r="1" spans="2:19" ht="38.4" customHeight="1" x14ac:dyDescent="0.3">
      <c r="I1" t="s">
        <v>22</v>
      </c>
      <c r="J1" t="s">
        <v>33</v>
      </c>
      <c r="K1" t="s">
        <v>34</v>
      </c>
      <c r="L1" t="s">
        <v>18</v>
      </c>
      <c r="M1" t="s">
        <v>35</v>
      </c>
      <c r="N1" t="s">
        <v>23</v>
      </c>
      <c r="O1" t="s">
        <v>13</v>
      </c>
      <c r="P1" t="s">
        <v>36</v>
      </c>
      <c r="Q1" t="s">
        <v>37</v>
      </c>
      <c r="R1" t="s">
        <v>16</v>
      </c>
      <c r="S1" t="s">
        <v>17</v>
      </c>
    </row>
    <row r="2" spans="2:19" ht="54.6" customHeight="1" x14ac:dyDescent="0.3">
      <c r="B2" t="s">
        <v>0</v>
      </c>
      <c r="C2">
        <f ca="1">RANDBETWEEN(1,6)</f>
        <v>2</v>
      </c>
      <c r="E2">
        <v>1</v>
      </c>
      <c r="F2">
        <f ca="1">COUNTIF($C$2:$C$6,1)</f>
        <v>0</v>
      </c>
      <c r="I2" t="str">
        <f ca="1">IF(F2=3, "Ja","Nee")</f>
        <v>Nee</v>
      </c>
      <c r="J2">
        <f t="shared" ref="J2:J7" ca="1" si="0">IF(C11=0,F2*E2,"")</f>
        <v>0</v>
      </c>
      <c r="K2" t="str">
        <f ca="1">IF(AND($C$20=0,I2="Ja"),SUM($C$2:$C$6),"")</f>
        <v/>
      </c>
      <c r="L2" t="str">
        <f t="shared" ref="L2:L7" ca="1" si="1">IF(F2&gt;=4,"Ja","Nee")</f>
        <v>Nee</v>
      </c>
      <c r="M2" t="str">
        <f t="shared" ref="M2:M3" ca="1" si="2">IF(AND($C$21=0,L2="Ja"),SUM($C$2:$C$6),"")</f>
        <v/>
      </c>
      <c r="N2" t="str">
        <f t="shared" ref="N2:N7" ca="1" si="3">IF(F2=3,"Nee",IF(F2=2,"Ja","Nee"))</f>
        <v>Nee</v>
      </c>
      <c r="O2">
        <f ca="1">IF(AND(C22=0,SUM(COUNTIF(I2:I7,"Ja")=1),SUM(COUNTIF(N2:N7,"Ja")=1)),25,"")</f>
        <v>25</v>
      </c>
      <c r="P2" t="str">
        <f ca="1">IF(OR(AND(C23=0,F2&gt;=1,F3&gt;=1,F4&gt;=1,F5&gt;=1),AND(C23=0,F3&gt;=1,F4&gt;=1,F5&gt;=1,F6&gt;=1),AND(C23=0,F4&gt;=1,F5&gt;=1,F6&gt;=1,F7&gt;=1)),30,"")</f>
        <v/>
      </c>
      <c r="Q2" t="str">
        <f ca="1">IF(OR(AND(C24=0,F2&gt;=1,F3&gt;=1,F4&gt;=1,F5&gt;=1,F6&gt;=1),AND(C24=0,F3&gt;=1,F4&gt;=1,F5&gt;=1,F6&gt;=1,F7&gt;=1)),40,"")</f>
        <v/>
      </c>
      <c r="R2">
        <f ca="1">IF(C25=0,SUM(C2:C6),"")</f>
        <v>14</v>
      </c>
      <c r="S2" t="str">
        <f ca="1">IF(AND(C26=0,COUNTIF(F2:F7,5)=1),50,"")</f>
        <v/>
      </c>
    </row>
    <row r="3" spans="2:19" ht="54.6" customHeight="1" x14ac:dyDescent="0.3">
      <c r="B3" t="s">
        <v>1</v>
      </c>
      <c r="C3">
        <f ca="1">RANDBETWEEN(1,6)</f>
        <v>4</v>
      </c>
      <c r="E3">
        <v>2</v>
      </c>
      <c r="F3">
        <f ca="1">COUNTIF($C$2:$C$6,2)</f>
        <v>3</v>
      </c>
      <c r="I3" t="str">
        <f t="shared" ref="I3:I7" ca="1" si="4">IF(F3=3, "Ja","Nee")</f>
        <v>Ja</v>
      </c>
      <c r="J3">
        <f t="shared" ca="1" si="0"/>
        <v>6</v>
      </c>
      <c r="K3">
        <f t="shared" ref="K3:K7" ca="1" si="5">IF(AND($C$20=0,I3="Ja"),SUM($C$2:$C$6),"")</f>
        <v>14</v>
      </c>
      <c r="L3" t="str">
        <f t="shared" ca="1" si="1"/>
        <v>Nee</v>
      </c>
      <c r="M3" t="str">
        <f t="shared" ca="1" si="2"/>
        <v/>
      </c>
      <c r="N3" t="str">
        <f t="shared" ca="1" si="3"/>
        <v>Nee</v>
      </c>
      <c r="O3" t="str">
        <f ca="1">IF(AND(I3="Ja",N3="Ja",$C$22=0),25,"")</f>
        <v/>
      </c>
    </row>
    <row r="4" spans="2:19" ht="54.6" customHeight="1" x14ac:dyDescent="0.3">
      <c r="B4" t="s">
        <v>2</v>
      </c>
      <c r="C4">
        <f ca="1">RANDBETWEEN(1,6)</f>
        <v>2</v>
      </c>
      <c r="E4">
        <v>3</v>
      </c>
      <c r="F4">
        <f ca="1">COUNTIF($C$2:$C$6,3)</f>
        <v>0</v>
      </c>
      <c r="I4" t="str">
        <f t="shared" ca="1" si="4"/>
        <v>Nee</v>
      </c>
      <c r="J4">
        <f t="shared" ca="1" si="0"/>
        <v>0</v>
      </c>
      <c r="K4" t="str">
        <f t="shared" ca="1" si="5"/>
        <v/>
      </c>
      <c r="L4" t="str">
        <f t="shared" ca="1" si="1"/>
        <v>Nee</v>
      </c>
      <c r="M4" t="str">
        <f ca="1">IF(AND($C$21=0,L4="Ja"),SUM($C$2:$C$6),"")</f>
        <v/>
      </c>
      <c r="N4" t="str">
        <f t="shared" ca="1" si="3"/>
        <v>Nee</v>
      </c>
      <c r="O4" t="str">
        <f ca="1">IF(AND(I4="Ja",N4="Ja",$C$22=0),25,"")</f>
        <v/>
      </c>
    </row>
    <row r="5" spans="2:19" ht="54.6" customHeight="1" x14ac:dyDescent="0.3">
      <c r="B5" t="s">
        <v>3</v>
      </c>
      <c r="C5">
        <f ca="1">RANDBETWEEN(1,6)</f>
        <v>2</v>
      </c>
      <c r="E5">
        <v>4</v>
      </c>
      <c r="F5">
        <f ca="1">COUNTIF($C$2:$C$6,4)</f>
        <v>2</v>
      </c>
      <c r="I5" t="str">
        <f t="shared" ca="1" si="4"/>
        <v>Nee</v>
      </c>
      <c r="J5">
        <f t="shared" ca="1" si="0"/>
        <v>8</v>
      </c>
      <c r="K5" t="str">
        <f t="shared" ca="1" si="5"/>
        <v/>
      </c>
      <c r="L5" t="str">
        <f t="shared" ca="1" si="1"/>
        <v>Nee</v>
      </c>
      <c r="M5" t="str">
        <f t="shared" ref="M5:M7" ca="1" si="6">IF(AND($C$21=0,L5="Ja"),SUM($C$2:$C$6),"")</f>
        <v/>
      </c>
      <c r="N5" t="str">
        <f t="shared" ca="1" si="3"/>
        <v>Ja</v>
      </c>
      <c r="O5" t="str">
        <f ca="1">IF(AND(I5="Ja",N5="Ja",$C$22=0),25,"")</f>
        <v/>
      </c>
    </row>
    <row r="6" spans="2:19" ht="54.6" customHeight="1" x14ac:dyDescent="0.3">
      <c r="B6" t="s">
        <v>4</v>
      </c>
      <c r="C6">
        <f ca="1">RANDBETWEEN(1,6)</f>
        <v>4</v>
      </c>
      <c r="E6">
        <v>5</v>
      </c>
      <c r="F6">
        <f ca="1">COUNTIF($C$2:$C$6,5)</f>
        <v>0</v>
      </c>
      <c r="I6" t="str">
        <f t="shared" ca="1" si="4"/>
        <v>Nee</v>
      </c>
      <c r="J6">
        <f t="shared" ca="1" si="0"/>
        <v>0</v>
      </c>
      <c r="K6" t="str">
        <f t="shared" ca="1" si="5"/>
        <v/>
      </c>
      <c r="L6" t="str">
        <f t="shared" ca="1" si="1"/>
        <v>Nee</v>
      </c>
      <c r="M6" t="str">
        <f t="shared" ca="1" si="6"/>
        <v/>
      </c>
      <c r="N6" t="str">
        <f t="shared" ca="1" si="3"/>
        <v>Nee</v>
      </c>
      <c r="O6" t="str">
        <f ca="1">IF(AND(I6="Ja",N6="Ja",$C$22=0),25,"")</f>
        <v/>
      </c>
    </row>
    <row r="7" spans="2:19" x14ac:dyDescent="0.3">
      <c r="E7">
        <v>6</v>
      </c>
      <c r="F7">
        <f ca="1">COUNTIF($C$2:$C$6,6)</f>
        <v>0</v>
      </c>
      <c r="I7" t="str">
        <f t="shared" ca="1" si="4"/>
        <v>Nee</v>
      </c>
      <c r="J7">
        <f t="shared" ca="1" si="0"/>
        <v>0</v>
      </c>
      <c r="K7" t="str">
        <f t="shared" ca="1" si="5"/>
        <v/>
      </c>
      <c r="L7" t="str">
        <f t="shared" ca="1" si="1"/>
        <v>Nee</v>
      </c>
      <c r="M7" t="str">
        <f t="shared" ca="1" si="6"/>
        <v/>
      </c>
      <c r="N7" t="str">
        <f t="shared" ca="1" si="3"/>
        <v>Nee</v>
      </c>
      <c r="O7" t="str">
        <f ca="1">IF(AND(I7="Ja",N7="Ja",$C$22=0),25,"")</f>
        <v/>
      </c>
    </row>
    <row r="10" spans="2:19" x14ac:dyDescent="0.3">
      <c r="B10" s="1" t="s">
        <v>10</v>
      </c>
    </row>
    <row r="11" spans="2:19" x14ac:dyDescent="0.3">
      <c r="B11" t="s">
        <v>5</v>
      </c>
      <c r="C11">
        <v>0</v>
      </c>
    </row>
    <row r="12" spans="2:19" x14ac:dyDescent="0.3">
      <c r="B12" t="s">
        <v>19</v>
      </c>
      <c r="C12">
        <v>0</v>
      </c>
    </row>
    <row r="13" spans="2:19" x14ac:dyDescent="0.3">
      <c r="B13" t="s">
        <v>6</v>
      </c>
      <c r="C13">
        <v>0</v>
      </c>
    </row>
    <row r="14" spans="2:19" x14ac:dyDescent="0.3">
      <c r="B14" t="s">
        <v>7</v>
      </c>
      <c r="C14">
        <v>0</v>
      </c>
    </row>
    <row r="15" spans="2:19" x14ac:dyDescent="0.3">
      <c r="B15" t="s">
        <v>8</v>
      </c>
      <c r="C15">
        <v>0</v>
      </c>
    </row>
    <row r="16" spans="2:19" x14ac:dyDescent="0.3">
      <c r="B16" t="s">
        <v>9</v>
      </c>
      <c r="C16">
        <v>0</v>
      </c>
    </row>
    <row r="17" spans="2:3" x14ac:dyDescent="0.3">
      <c r="B17" t="s">
        <v>20</v>
      </c>
      <c r="C17" t="str">
        <f>IF(SUM(C11:C16)&gt;=63, "JA","Nee")</f>
        <v>Nee</v>
      </c>
    </row>
    <row r="18" spans="2:3" x14ac:dyDescent="0.3">
      <c r="B18" t="s">
        <v>21</v>
      </c>
      <c r="C18">
        <f>IF(C17="Ja",SUM(C11:C16)+35,SUM(C11:C16))</f>
        <v>0</v>
      </c>
    </row>
    <row r="20" spans="2:3" x14ac:dyDescent="0.3">
      <c r="B20" t="s">
        <v>11</v>
      </c>
      <c r="C20">
        <v>0</v>
      </c>
    </row>
    <row r="21" spans="2:3" x14ac:dyDescent="0.3">
      <c r="B21" t="s">
        <v>12</v>
      </c>
      <c r="C21">
        <v>0</v>
      </c>
    </row>
    <row r="22" spans="2:3" x14ac:dyDescent="0.3">
      <c r="B22" t="s">
        <v>13</v>
      </c>
      <c r="C22">
        <v>0</v>
      </c>
    </row>
    <row r="23" spans="2:3" x14ac:dyDescent="0.3">
      <c r="B23" t="s">
        <v>14</v>
      </c>
      <c r="C23">
        <v>0</v>
      </c>
    </row>
    <row r="24" spans="2:3" x14ac:dyDescent="0.3">
      <c r="B24" t="s">
        <v>15</v>
      </c>
      <c r="C24">
        <v>0</v>
      </c>
    </row>
    <row r="25" spans="2:3" x14ac:dyDescent="0.3">
      <c r="B25" t="s">
        <v>16</v>
      </c>
      <c r="C25">
        <v>0</v>
      </c>
    </row>
    <row r="26" spans="2:3" x14ac:dyDescent="0.3">
      <c r="B26" t="s">
        <v>17</v>
      </c>
      <c r="C26">
        <v>0</v>
      </c>
    </row>
    <row r="27" spans="2:3" x14ac:dyDescent="0.3">
      <c r="B27" t="s">
        <v>24</v>
      </c>
      <c r="C27">
        <v>0</v>
      </c>
    </row>
    <row r="28" spans="2:3" x14ac:dyDescent="0.3">
      <c r="B28" t="s">
        <v>25</v>
      </c>
      <c r="C28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0" r:id="rId3" name="Check Box 38">
              <controlPr defaultSize="0" autoFill="0" autoLine="0" autoPict="0" macro="[0]!PasteDice1">
                <anchor moveWithCells="1">
                  <from>
                    <xdr:col>2</xdr:col>
                    <xdr:colOff>15240</xdr:colOff>
                    <xdr:row>1</xdr:row>
                    <xdr:rowOff>487680</xdr:rowOff>
                  </from>
                  <to>
                    <xdr:col>2</xdr:col>
                    <xdr:colOff>266700</xdr:colOff>
                    <xdr:row>1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4" name="Check Box 79">
              <controlPr defaultSize="0" autoFill="0" autoLine="0" autoPict="0" macro="[0]!PasteDice2">
                <anchor moveWithCells="1">
                  <from>
                    <xdr:col>2</xdr:col>
                    <xdr:colOff>15240</xdr:colOff>
                    <xdr:row>2</xdr:row>
                    <xdr:rowOff>480060</xdr:rowOff>
                  </from>
                  <to>
                    <xdr:col>2</xdr:col>
                    <xdr:colOff>243840</xdr:colOff>
                    <xdr:row>2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" name="Check Box 80">
              <controlPr defaultSize="0" autoFill="0" autoLine="0" autoPict="0" macro="[0]!PasteDice3">
                <anchor moveWithCells="1">
                  <from>
                    <xdr:col>2</xdr:col>
                    <xdr:colOff>22860</xdr:colOff>
                    <xdr:row>3</xdr:row>
                    <xdr:rowOff>464820</xdr:rowOff>
                  </from>
                  <to>
                    <xdr:col>2</xdr:col>
                    <xdr:colOff>251460</xdr:colOff>
                    <xdr:row>3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" name="Check Box 92">
              <controlPr defaultSize="0" autoFill="0" autoLine="0" autoPict="0" macro="[0]!PasteDice4">
                <anchor moveWithCells="1">
                  <from>
                    <xdr:col>2</xdr:col>
                    <xdr:colOff>7620</xdr:colOff>
                    <xdr:row>4</xdr:row>
                    <xdr:rowOff>457200</xdr:rowOff>
                  </from>
                  <to>
                    <xdr:col>2</xdr:col>
                    <xdr:colOff>281940</xdr:colOff>
                    <xdr:row>4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7" name="Check Box 98">
              <controlPr defaultSize="0" autoFill="0" autoLine="0" autoPict="0" macro="[0]!PasteDice5">
                <anchor moveWithCells="1">
                  <from>
                    <xdr:col>2</xdr:col>
                    <xdr:colOff>15240</xdr:colOff>
                    <xdr:row>5</xdr:row>
                    <xdr:rowOff>472440</xdr:rowOff>
                  </from>
                  <to>
                    <xdr:col>2</xdr:col>
                    <xdr:colOff>236220</xdr:colOff>
                    <xdr:row>5</xdr:row>
                    <xdr:rowOff>670560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223F-3A98-4796-82A4-1F850AE25108}">
  <dimension ref="A1:B19"/>
  <sheetViews>
    <sheetView workbookViewId="0">
      <selection activeCell="D23" sqref="D23"/>
    </sheetView>
  </sheetViews>
  <sheetFormatPr defaultRowHeight="14.4" x14ac:dyDescent="0.3"/>
  <sheetData>
    <row r="1" spans="1:2" x14ac:dyDescent="0.3">
      <c r="A1" t="s">
        <v>10</v>
      </c>
    </row>
    <row r="2" spans="1:2" x14ac:dyDescent="0.3">
      <c r="A2" t="s">
        <v>5</v>
      </c>
      <c r="B2">
        <v>4</v>
      </c>
    </row>
    <row r="3" spans="1:2" x14ac:dyDescent="0.3">
      <c r="A3" t="s">
        <v>19</v>
      </c>
      <c r="B3" t="s">
        <v>26</v>
      </c>
    </row>
    <row r="4" spans="1:2" x14ac:dyDescent="0.3">
      <c r="A4" t="s">
        <v>6</v>
      </c>
      <c r="B4">
        <v>6</v>
      </c>
    </row>
    <row r="5" spans="1:2" x14ac:dyDescent="0.3">
      <c r="A5" t="s">
        <v>7</v>
      </c>
      <c r="B5">
        <v>8</v>
      </c>
    </row>
    <row r="6" spans="1:2" x14ac:dyDescent="0.3">
      <c r="A6" t="s">
        <v>8</v>
      </c>
      <c r="B6">
        <v>15</v>
      </c>
    </row>
    <row r="7" spans="1:2" x14ac:dyDescent="0.3">
      <c r="A7" t="s">
        <v>9</v>
      </c>
      <c r="B7">
        <v>18</v>
      </c>
    </row>
    <row r="8" spans="1:2" x14ac:dyDescent="0.3">
      <c r="A8" t="s">
        <v>20</v>
      </c>
      <c r="B8" t="s">
        <v>27</v>
      </c>
    </row>
    <row r="9" spans="1:2" x14ac:dyDescent="0.3">
      <c r="A9" t="s">
        <v>21</v>
      </c>
      <c r="B9">
        <v>51</v>
      </c>
    </row>
    <row r="11" spans="1:2" x14ac:dyDescent="0.3">
      <c r="A11" t="s">
        <v>11</v>
      </c>
      <c r="B11">
        <v>22</v>
      </c>
    </row>
    <row r="12" spans="1:2" x14ac:dyDescent="0.3">
      <c r="A12" t="s">
        <v>12</v>
      </c>
      <c r="B12">
        <v>20</v>
      </c>
    </row>
    <row r="13" spans="1:2" x14ac:dyDescent="0.3">
      <c r="A13" t="s">
        <v>13</v>
      </c>
      <c r="B13">
        <v>25</v>
      </c>
    </row>
    <row r="14" spans="1:2" x14ac:dyDescent="0.3">
      <c r="A14" t="s">
        <v>14</v>
      </c>
      <c r="B14">
        <v>30</v>
      </c>
    </row>
    <row r="15" spans="1:2" x14ac:dyDescent="0.3">
      <c r="A15" t="s">
        <v>15</v>
      </c>
      <c r="B15">
        <v>40</v>
      </c>
    </row>
    <row r="16" spans="1:2" x14ac:dyDescent="0.3">
      <c r="A16" t="s">
        <v>16</v>
      </c>
      <c r="B16">
        <v>25</v>
      </c>
    </row>
    <row r="17" spans="1:2" x14ac:dyDescent="0.3">
      <c r="A17" t="s">
        <v>17</v>
      </c>
      <c r="B17" t="s">
        <v>26</v>
      </c>
    </row>
    <row r="18" spans="1:2" x14ac:dyDescent="0.3">
      <c r="A18" t="s">
        <v>24</v>
      </c>
      <c r="B18">
        <v>162</v>
      </c>
    </row>
    <row r="19" spans="1:2" x14ac:dyDescent="0.3">
      <c r="A19" t="s">
        <v>25</v>
      </c>
      <c r="B19">
        <v>213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AF114-0873-45CB-B463-BA28DF33CCC4}">
  <dimension ref="A1"/>
  <sheetViews>
    <sheetView workbookViewId="0">
      <selection activeCell="E4" sqref="E4"/>
    </sheetView>
  </sheetViews>
  <sheetFormatPr defaultRowHeight="14.4" x14ac:dyDescent="0.3"/>
  <cols>
    <col min="1" max="1" width="16.77734375" customWidth="1"/>
    <col min="2" max="2" width="22.21875" customWidth="1"/>
    <col min="3" max="3" width="17.6640625" customWidth="1"/>
    <col min="4" max="4" width="16.77734375" customWidth="1"/>
    <col min="5" max="5" width="17.5546875" customWidth="1"/>
    <col min="6" max="6" width="21.5546875" customWidth="1"/>
  </cols>
  <sheetData>
    <row r="1" ht="109.8" customHeight="1" x14ac:dyDescent="0.3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C32D-4BB8-4FD0-A630-F3D597DEDDA9}">
  <dimension ref="A3:B7"/>
  <sheetViews>
    <sheetView workbookViewId="0">
      <selection activeCell="B4" sqref="B4"/>
    </sheetView>
  </sheetViews>
  <sheetFormatPr defaultRowHeight="14.4" x14ac:dyDescent="0.3"/>
  <sheetData>
    <row r="3" spans="1:2" x14ac:dyDescent="0.3">
      <c r="A3" t="s">
        <v>28</v>
      </c>
      <c r="B3" t="str">
        <f ca="1">IF(Game!C2=1,"dice",IF(Game!C2=2,"dice_two",IF(Game!C2=3,"dice_three",IF(Game!C2=4,"dice_four",IF(Game!C2=5,"dice_five",IF(Game!C2=6,"dice_six",""))))))</f>
        <v>dice_two</v>
      </c>
    </row>
    <row r="4" spans="1:2" x14ac:dyDescent="0.3">
      <c r="A4" t="s">
        <v>29</v>
      </c>
      <c r="B4" t="str">
        <f ca="1">IF(Game!C3=1,"dice",IF(Game!C3=2,"dice_two",IF(Game!C3=3,"dice_three",IF(Game!C3=4,"dice_four",IF(Game!C3=5,"dice_five",IF(Game!C3=6,"dice_six",""))))))</f>
        <v>dice_four</v>
      </c>
    </row>
    <row r="5" spans="1:2" x14ac:dyDescent="0.3">
      <c r="A5" t="s">
        <v>30</v>
      </c>
      <c r="B5" t="str">
        <f ca="1">IF(Game!C4=1,"dice",IF(Game!C4=2,"dice_two",IF(Game!C4=3,"dice_three",IF(Game!C4=4,"dice_four",IF(Game!C4=5,"dice_five",IF(Game!C4=6,"dice_six",""))))))</f>
        <v>dice_two</v>
      </c>
    </row>
    <row r="6" spans="1:2" x14ac:dyDescent="0.3">
      <c r="A6" t="s">
        <v>31</v>
      </c>
      <c r="B6" t="str">
        <f ca="1">IF(Game!C5=1,"dice",IF(Game!C5=2,"dice_two",IF(Game!C5=3,"dice_three",IF(Game!C5=4,"dice_four",IF(Game!C5=5,"dice_five",IF(Game!C5=6,"dice_six",""))))))</f>
        <v>dice_two</v>
      </c>
    </row>
    <row r="7" spans="1:2" x14ac:dyDescent="0.3">
      <c r="A7" t="s">
        <v>32</v>
      </c>
      <c r="B7" t="str">
        <f ca="1">IF(Game!C6=1,"dice",IF(Game!C6=2,"dice_two",IF(Game!C6=3,"dice_three",IF(Game!C6=4,"dice_four",IF(Game!C6=5,"dice_five",IF(Game!C6=6,"dice_six",""))))))</f>
        <v>dice_four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11</vt:i4>
      </vt:variant>
    </vt:vector>
  </HeadingPairs>
  <TitlesOfParts>
    <vt:vector size="15" baseType="lpstr">
      <vt:lpstr>Game</vt:lpstr>
      <vt:lpstr>Results</vt:lpstr>
      <vt:lpstr>Dice images</vt:lpstr>
      <vt:lpstr>Conversion</vt:lpstr>
      <vt:lpstr>dice</vt:lpstr>
      <vt:lpstr>dice_five</vt:lpstr>
      <vt:lpstr>dice_four</vt:lpstr>
      <vt:lpstr>dice_one</vt:lpstr>
      <vt:lpstr>dice_six</vt:lpstr>
      <vt:lpstr>dice_three</vt:lpstr>
      <vt:lpstr>dice_two</vt:lpstr>
      <vt:lpstr>dice1</vt:lpstr>
      <vt:lpstr>diceuno</vt:lpstr>
      <vt:lpstr>done</vt:lpstr>
      <vt:lpstr>locked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Ewoud Brouwer</dc:creator>
  <cp:lastModifiedBy>Ewoud Brouwer</cp:lastModifiedBy>
  <dcterms:created xsi:type="dcterms:W3CDTF">2023-02-18T11:17:05Z</dcterms:created>
  <dcterms:modified xsi:type="dcterms:W3CDTF">2023-11-23T18:03:27Z</dcterms:modified>
</cp:coreProperties>
</file>